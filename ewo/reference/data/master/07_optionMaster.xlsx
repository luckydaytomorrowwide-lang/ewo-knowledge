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0_master/"/>
    </mc:Choice>
  </mc:AlternateContent>
  <xr:revisionPtr revIDLastSave="42" documentId="8_{6720671B-3F8E-4EDC-81E5-DBB4051E4B1D}" xr6:coauthVersionLast="47" xr6:coauthVersionMax="47" xr10:uidLastSave="{8DC25E91-1935-4B8C-AA97-634CA02BAFB6}"/>
  <bookViews>
    <workbookView xWindow="42075" yWindow="-2655" windowWidth="15990" windowHeight="9330" firstSheet="1" activeTab="1" xr2:uid="{C9CFDABF-C62D-48C2-9692-17E0A4794386}"/>
  </bookViews>
  <sheets>
    <sheet name="selectOptionMaster" sheetId="2" r:id="rId1"/>
    <sheet name="layoutOptionMaster" sheetId="3" r:id="rId2"/>
    <sheet name="searchNodeWFOptionMaster" sheetId="4" r:id="rId3"/>
  </sheets>
  <definedNames>
    <definedName name="_xlnm._FilterDatabase" localSheetId="1" hidden="1">layoutOptionMaster!$A$1:$J$1</definedName>
    <definedName name="_xlnm._FilterDatabase" localSheetId="2" hidden="1">searchNodeWFOptionMaster!$A$1:$J$1</definedName>
    <definedName name="_xlnm._FilterDatabase" localSheetId="0" hidden="1">selectOptionMaster!$A$1:$J$1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6" i="3"/>
  <c r="E8" i="4"/>
  <c r="E7" i="4"/>
  <c r="E6" i="4"/>
  <c r="D2" i="4"/>
  <c r="D3" i="4" s="1"/>
  <c r="D2" i="3"/>
  <c r="D6" i="3" s="1"/>
  <c r="D2" i="2"/>
  <c r="E3" i="2" s="1"/>
  <c r="E4" i="4" l="1"/>
  <c r="D5" i="4"/>
  <c r="D7" i="4"/>
  <c r="E5" i="4"/>
  <c r="E3" i="4"/>
  <c r="D4" i="4"/>
  <c r="D6" i="4"/>
  <c r="E4" i="3"/>
  <c r="D5" i="3"/>
  <c r="D3" i="3"/>
  <c r="E3" i="3"/>
  <c r="D4" i="3"/>
  <c r="E5" i="3"/>
  <c r="D4" i="2"/>
  <c r="E4" i="2"/>
  <c r="D5" i="2"/>
  <c r="D6" i="2"/>
  <c r="E6" i="2"/>
  <c r="D3" i="2"/>
  <c r="E5" i="2"/>
  <c r="D8" i="4" l="1"/>
  <c r="D7" i="3"/>
</calcChain>
</file>

<file path=xl/sharedStrings.xml><?xml version="1.0" encoding="utf-8"?>
<sst xmlns="http://schemas.openxmlformats.org/spreadsheetml/2006/main" count="285" uniqueCount="57">
  <si>
    <t>key</t>
    <phoneticPr fontId="2"/>
  </si>
  <si>
    <t>value</t>
    <phoneticPr fontId="2"/>
  </si>
  <si>
    <t>anchor</t>
  </si>
  <si>
    <t>line</t>
  </si>
  <si>
    <t>config</t>
  </si>
  <si>
    <t>display</t>
  </si>
  <si>
    <t>config</t>
    <phoneticPr fontId="2"/>
  </si>
  <si>
    <t>display</t>
    <phoneticPr fontId="2"/>
  </si>
  <si>
    <t>nCat</t>
    <phoneticPr fontId="2"/>
  </si>
  <si>
    <t>uCat</t>
    <phoneticPr fontId="2"/>
  </si>
  <si>
    <t>lineId</t>
    <phoneticPr fontId="2"/>
  </si>
  <si>
    <t>parentId</t>
    <phoneticPr fontId="2"/>
  </si>
  <si>
    <t>depId</t>
    <phoneticPr fontId="2"/>
  </si>
  <si>
    <t>iType</t>
    <phoneticPr fontId="2"/>
  </si>
  <si>
    <t>fType</t>
    <phoneticPr fontId="2"/>
  </si>
  <si>
    <t>varName</t>
    <phoneticPr fontId="2"/>
  </si>
  <si>
    <t>tableId</t>
    <phoneticPr fontId="2"/>
  </si>
  <si>
    <t>w_type</t>
    <phoneticPr fontId="2"/>
  </si>
  <si>
    <t>w_card</t>
    <phoneticPr fontId="2"/>
  </si>
  <si>
    <t>d_read</t>
    <phoneticPr fontId="2"/>
  </si>
  <si>
    <t>d_update</t>
    <phoneticPr fontId="2"/>
  </si>
  <si>
    <t>d_copy</t>
    <phoneticPr fontId="2"/>
  </si>
  <si>
    <t>d_refer</t>
    <phoneticPr fontId="2"/>
  </si>
  <si>
    <t>s_read</t>
  </si>
  <si>
    <t>s_read_formula</t>
  </si>
  <si>
    <t>s_update</t>
  </si>
  <si>
    <t>s_update_formula</t>
  </si>
  <si>
    <t>s_copy</t>
  </si>
  <si>
    <t>s_copy_formula</t>
  </si>
  <si>
    <t>s_refer</t>
  </si>
  <si>
    <t>s_refer_formula</t>
  </si>
  <si>
    <t>d_button</t>
    <phoneticPr fontId="2"/>
  </si>
  <si>
    <t>s_button</t>
    <phoneticPr fontId="2"/>
  </si>
  <si>
    <t>d_display</t>
    <phoneticPr fontId="2"/>
  </si>
  <si>
    <t>s_display</t>
    <phoneticPr fontId="2"/>
  </si>
  <si>
    <t>s_display_formula</t>
  </si>
  <si>
    <t>d_action</t>
  </si>
  <si>
    <t>s_action</t>
  </si>
  <si>
    <t>s_action_formula</t>
  </si>
  <si>
    <t>-</t>
    <phoneticPr fontId="2"/>
  </si>
  <si>
    <t>option</t>
    <phoneticPr fontId="2"/>
  </si>
  <si>
    <t>layoutKey</t>
    <phoneticPr fontId="2"/>
  </si>
  <si>
    <t>01</t>
    <phoneticPr fontId="2"/>
  </si>
  <si>
    <t>01.01</t>
    <phoneticPr fontId="2"/>
  </si>
  <si>
    <t>01.02</t>
    <phoneticPr fontId="2"/>
  </si>
  <si>
    <t>01.03</t>
    <phoneticPr fontId="2"/>
  </si>
  <si>
    <t>01.04</t>
    <phoneticPr fontId="2"/>
  </si>
  <si>
    <t>layoutMapConfig</t>
    <phoneticPr fontId="2"/>
  </si>
  <si>
    <t>snackingConfig</t>
    <phoneticPr fontId="2"/>
  </si>
  <si>
    <t>actionConfig</t>
    <phoneticPr fontId="2"/>
  </si>
  <si>
    <t>searchType</t>
    <phoneticPr fontId="2"/>
  </si>
  <si>
    <t>currentNodeId</t>
    <phoneticPr fontId="2"/>
  </si>
  <si>
    <t>edgeType</t>
    <phoneticPr fontId="2"/>
  </si>
  <si>
    <t>nodeLabel</t>
    <phoneticPr fontId="2"/>
  </si>
  <si>
    <t>01.05</t>
  </si>
  <si>
    <t>01.06</t>
  </si>
  <si>
    <t>01.05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</si>
</sst>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sz val="10"/>
      <color rgb="FF000000"/>
      <name val="ＭＳ Ｐゴシック"/>
      <family val="2"/>
      <scheme val="minor"/>
    </font>
    <font>
      <b/>
      <sz val="9"/>
      <color rgb="FFFF0000"/>
      <name val="Meiryo UI"/>
      <family val="3"/>
      <charset val="128"/>
    </font>
    <font>
      <b/>
      <sz val="9"/>
      <color rgb="FF000000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EAD3"/>
      </patternFill>
    </fill>
    <fill>
      <patternFill patternType="solid">
        <fgColor theme="2" tint="-0.249977111117893"/>
        <bgColor rgb="FFE06666"/>
      </patternFill>
    </fill>
  </fills>
  <borders count="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/>
    </xf>
  </cellXfs>
  <cellStyles count="2">
    <cellStyle name="標準" xfId="0" builtinId="0"/>
    <cellStyle name="標準 2" xfId="1" xr:uid="{17819F1B-FFDE-4FF9-B913-FD3508C135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160E-F1D1-4DFD-8883-98A2CCE4C29F}">
  <dimension ref="A1:AG6"/>
  <sheetViews>
    <sheetView zoomScale="70" zoomScaleNormal="70" workbookViewId="0">
      <selection activeCell="D12" sqref="D12"/>
    </sheetView>
  </sheetViews>
  <sheetFormatPr defaultColWidth="8.6640625" defaultRowHeight="12.6" x14ac:dyDescent="0.2"/>
  <cols>
    <col min="1" max="1" width="28.77734375" style="12" bestFit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9" width="14.77734375" style="1" customWidth="1"/>
    <col min="10" max="10" width="30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8" width="10.77734375" style="1" customWidth="1"/>
    <col min="29" max="29" width="40.77734375" style="1" customWidth="1"/>
    <col min="30" max="31" width="10.77734375" style="1" customWidth="1"/>
    <col min="32" max="32" width="40.77734375" style="1" customWidth="1"/>
    <col min="33" max="33" width="8.6640625" style="2"/>
    <col min="34" max="16384" width="8.6640625" style="1"/>
  </cols>
  <sheetData>
    <row r="1" spans="1:33" s="4" customFormat="1" x14ac:dyDescent="0.2">
      <c r="A1" s="12" t="s">
        <v>41</v>
      </c>
      <c r="B1" s="15" t="s">
        <v>8</v>
      </c>
      <c r="C1" s="15" t="s">
        <v>9</v>
      </c>
      <c r="D1" s="15" t="s">
        <v>10</v>
      </c>
      <c r="E1" s="15" t="s">
        <v>11</v>
      </c>
      <c r="F1" s="16" t="s">
        <v>12</v>
      </c>
      <c r="G1" s="15" t="s">
        <v>0</v>
      </c>
      <c r="H1" s="15" t="s">
        <v>13</v>
      </c>
      <c r="I1" s="15" t="s">
        <v>14</v>
      </c>
      <c r="J1" s="15" t="s">
        <v>1</v>
      </c>
      <c r="K1" s="5" t="s">
        <v>17</v>
      </c>
      <c r="L1" s="6" t="s">
        <v>18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7" t="s">
        <v>24</v>
      </c>
      <c r="S1" s="7" t="s">
        <v>25</v>
      </c>
      <c r="T1" s="7" t="s">
        <v>26</v>
      </c>
      <c r="U1" s="7" t="s">
        <v>27</v>
      </c>
      <c r="V1" s="7" t="s">
        <v>28</v>
      </c>
      <c r="W1" s="7" t="s">
        <v>29</v>
      </c>
      <c r="X1" s="7" t="s">
        <v>30</v>
      </c>
      <c r="Y1" s="7" t="s">
        <v>31</v>
      </c>
      <c r="Z1" s="7" t="s">
        <v>32</v>
      </c>
      <c r="AA1" s="7" t="s">
        <v>33</v>
      </c>
      <c r="AB1" s="7" t="s">
        <v>34</v>
      </c>
      <c r="AC1" s="7" t="s">
        <v>35</v>
      </c>
      <c r="AD1" s="7" t="s">
        <v>36</v>
      </c>
      <c r="AE1" s="7" t="s">
        <v>37</v>
      </c>
      <c r="AF1" s="7" t="s">
        <v>38</v>
      </c>
      <c r="AG1" s="3"/>
    </row>
    <row r="2" spans="1:33" s="4" customFormat="1" x14ac:dyDescent="0.2">
      <c r="A2" s="20" t="s">
        <v>42</v>
      </c>
      <c r="B2" s="11" t="s">
        <v>2</v>
      </c>
      <c r="C2" s="11" t="s">
        <v>40</v>
      </c>
      <c r="D2" s="11" t="str">
        <f>_xlfn.CONCAT(PROPER(C2),"-",PROPER(J3))</f>
        <v>Option-</v>
      </c>
      <c r="E2" s="18"/>
      <c r="F2" s="19"/>
      <c r="G2" s="18"/>
      <c r="H2" s="18"/>
      <c r="I2" s="18"/>
      <c r="J2" s="18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3" s="4" customFormat="1" x14ac:dyDescent="0.2">
      <c r="A3" s="20" t="s">
        <v>43</v>
      </c>
      <c r="B3" s="8" t="s">
        <v>3</v>
      </c>
      <c r="C3" s="8" t="s">
        <v>4</v>
      </c>
      <c r="D3" s="17" t="str">
        <f>_xlfn.CONCAT(D2,"-",G3)</f>
        <v>Option--varName</v>
      </c>
      <c r="E3" s="8" t="str">
        <f>D2</f>
        <v>Option-</v>
      </c>
      <c r="F3" s="13"/>
      <c r="G3" s="8" t="s">
        <v>15</v>
      </c>
      <c r="H3" s="14"/>
      <c r="I3" s="14"/>
      <c r="J3" s="14"/>
      <c r="K3" s="8"/>
      <c r="L3" s="8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 t="s">
        <v>39</v>
      </c>
      <c r="Z3" s="10" t="s">
        <v>39</v>
      </c>
      <c r="AA3" s="10" t="s">
        <v>39</v>
      </c>
      <c r="AB3" s="10" t="s">
        <v>39</v>
      </c>
      <c r="AC3" s="10" t="s">
        <v>39</v>
      </c>
      <c r="AD3" s="10" t="s">
        <v>39</v>
      </c>
      <c r="AE3" s="10" t="s">
        <v>39</v>
      </c>
      <c r="AF3" s="10" t="s">
        <v>39</v>
      </c>
    </row>
    <row r="4" spans="1:33" s="4" customFormat="1" x14ac:dyDescent="0.2">
      <c r="A4" s="20" t="s">
        <v>44</v>
      </c>
      <c r="B4" s="8" t="s">
        <v>3</v>
      </c>
      <c r="C4" s="8" t="s">
        <v>5</v>
      </c>
      <c r="D4" s="17" t="str">
        <f>_xlfn.CONCAT(D2,"-",G4)</f>
        <v>Option--display</v>
      </c>
      <c r="E4" s="8" t="str">
        <f>D2</f>
        <v>Option-</v>
      </c>
      <c r="F4" s="13"/>
      <c r="G4" s="8" t="s">
        <v>7</v>
      </c>
      <c r="H4" s="14"/>
      <c r="I4" s="14"/>
      <c r="J4" s="14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 t="s">
        <v>39</v>
      </c>
      <c r="Z4" s="10" t="s">
        <v>39</v>
      </c>
      <c r="AA4" s="10" t="s">
        <v>39</v>
      </c>
      <c r="AB4" s="10" t="s">
        <v>39</v>
      </c>
      <c r="AC4" s="10" t="s">
        <v>39</v>
      </c>
      <c r="AD4" s="10" t="s">
        <v>39</v>
      </c>
      <c r="AE4" s="10" t="s">
        <v>39</v>
      </c>
      <c r="AF4" s="10" t="s">
        <v>39</v>
      </c>
    </row>
    <row r="5" spans="1:33" s="4" customFormat="1" x14ac:dyDescent="0.2">
      <c r="A5" s="20" t="s">
        <v>45</v>
      </c>
      <c r="B5" s="8" t="s">
        <v>3</v>
      </c>
      <c r="C5" s="8" t="s">
        <v>4</v>
      </c>
      <c r="D5" s="17" t="str">
        <f>_xlfn.CONCAT(D2,"-",G5)</f>
        <v>Option--tableId</v>
      </c>
      <c r="E5" s="8" t="str">
        <f>D2</f>
        <v>Option-</v>
      </c>
      <c r="F5" s="13"/>
      <c r="G5" s="8" t="s">
        <v>16</v>
      </c>
      <c r="H5" s="14"/>
      <c r="I5" s="14"/>
      <c r="J5" s="14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 t="s">
        <v>39</v>
      </c>
      <c r="Z5" s="10" t="s">
        <v>39</v>
      </c>
      <c r="AA5" s="10" t="s">
        <v>39</v>
      </c>
      <c r="AB5" s="10" t="s">
        <v>39</v>
      </c>
      <c r="AC5" s="10" t="s">
        <v>39</v>
      </c>
      <c r="AD5" s="10" t="s">
        <v>39</v>
      </c>
      <c r="AE5" s="10" t="s">
        <v>39</v>
      </c>
      <c r="AF5" s="10" t="s">
        <v>39</v>
      </c>
    </row>
    <row r="6" spans="1:33" s="4" customFormat="1" x14ac:dyDescent="0.2">
      <c r="A6" s="20" t="s">
        <v>46</v>
      </c>
      <c r="B6" s="8" t="s">
        <v>3</v>
      </c>
      <c r="C6" s="8" t="s">
        <v>6</v>
      </c>
      <c r="D6" s="17" t="str">
        <f>_xlfn.CONCAT(D2,"-",G6)</f>
        <v>Option--value</v>
      </c>
      <c r="E6" s="8" t="str">
        <f>D2</f>
        <v>Option-</v>
      </c>
      <c r="F6" s="13"/>
      <c r="G6" s="8" t="s">
        <v>1</v>
      </c>
      <c r="H6" s="14"/>
      <c r="I6" s="14"/>
      <c r="J6" s="14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 t="s">
        <v>39</v>
      </c>
      <c r="Z6" s="10" t="s">
        <v>39</v>
      </c>
      <c r="AA6" s="10" t="s">
        <v>39</v>
      </c>
      <c r="AB6" s="10" t="s">
        <v>39</v>
      </c>
      <c r="AC6" s="10" t="s">
        <v>39</v>
      </c>
      <c r="AD6" s="10" t="s">
        <v>39</v>
      </c>
      <c r="AE6" s="10" t="s">
        <v>39</v>
      </c>
      <c r="AF6" s="10" t="s">
        <v>39</v>
      </c>
    </row>
  </sheetData>
  <autoFilter ref="A1:J53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8E87-0365-4C92-A5E5-895450FAC478}">
  <dimension ref="A1:AG7"/>
  <sheetViews>
    <sheetView tabSelected="1" zoomScale="70" zoomScaleNormal="70" workbookViewId="0">
      <selection activeCell="E8" sqref="E8"/>
    </sheetView>
  </sheetViews>
  <sheetFormatPr defaultColWidth="8.6640625" defaultRowHeight="12.6" x14ac:dyDescent="0.2"/>
  <cols>
    <col min="1" max="1" width="28.77734375" style="12" bestFit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9" width="14.77734375" style="1" customWidth="1"/>
    <col min="10" max="10" width="30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8" width="10.77734375" style="1" customWidth="1"/>
    <col min="29" max="29" width="40.77734375" style="1" customWidth="1"/>
    <col min="30" max="31" width="10.77734375" style="1" customWidth="1"/>
    <col min="32" max="32" width="40.77734375" style="1" customWidth="1"/>
    <col min="33" max="33" width="8.6640625" style="2"/>
    <col min="34" max="16384" width="8.6640625" style="1"/>
  </cols>
  <sheetData>
    <row r="1" spans="1:33" s="4" customFormat="1" x14ac:dyDescent="0.2">
      <c r="A1" s="12" t="s">
        <v>41</v>
      </c>
      <c r="B1" s="15" t="s">
        <v>8</v>
      </c>
      <c r="C1" s="15" t="s">
        <v>9</v>
      </c>
      <c r="D1" s="15" t="s">
        <v>10</v>
      </c>
      <c r="E1" s="15" t="s">
        <v>11</v>
      </c>
      <c r="F1" s="16" t="s">
        <v>12</v>
      </c>
      <c r="G1" s="15" t="s">
        <v>0</v>
      </c>
      <c r="H1" s="15" t="s">
        <v>13</v>
      </c>
      <c r="I1" s="15" t="s">
        <v>14</v>
      </c>
      <c r="J1" s="15" t="s">
        <v>1</v>
      </c>
      <c r="K1" s="5" t="s">
        <v>17</v>
      </c>
      <c r="L1" s="6" t="s">
        <v>18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7" t="s">
        <v>24</v>
      </c>
      <c r="S1" s="7" t="s">
        <v>25</v>
      </c>
      <c r="T1" s="7" t="s">
        <v>26</v>
      </c>
      <c r="U1" s="7" t="s">
        <v>27</v>
      </c>
      <c r="V1" s="7" t="s">
        <v>28</v>
      </c>
      <c r="W1" s="7" t="s">
        <v>29</v>
      </c>
      <c r="X1" s="7" t="s">
        <v>30</v>
      </c>
      <c r="Y1" s="7" t="s">
        <v>31</v>
      </c>
      <c r="Z1" s="7" t="s">
        <v>32</v>
      </c>
      <c r="AA1" s="7" t="s">
        <v>33</v>
      </c>
      <c r="AB1" s="7" t="s">
        <v>34</v>
      </c>
      <c r="AC1" s="7" t="s">
        <v>35</v>
      </c>
      <c r="AD1" s="7" t="s">
        <v>36</v>
      </c>
      <c r="AE1" s="7" t="s">
        <v>37</v>
      </c>
      <c r="AF1" s="7" t="s">
        <v>38</v>
      </c>
      <c r="AG1" s="3"/>
    </row>
    <row r="2" spans="1:33" s="4" customFormat="1" x14ac:dyDescent="0.2">
      <c r="A2" s="20" t="s">
        <v>42</v>
      </c>
      <c r="B2" s="11" t="s">
        <v>2</v>
      </c>
      <c r="C2" s="11" t="s">
        <v>40</v>
      </c>
      <c r="D2" s="11" t="str">
        <f>_xlfn.CONCAT(PROPER(C2),"-",PROPER(J3))</f>
        <v>Option-</v>
      </c>
      <c r="E2" s="18"/>
      <c r="F2" s="19"/>
      <c r="G2" s="18"/>
      <c r="H2" s="18"/>
      <c r="I2" s="18"/>
      <c r="J2" s="18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3" s="4" customFormat="1" x14ac:dyDescent="0.2">
      <c r="A3" s="20" t="s">
        <v>43</v>
      </c>
      <c r="B3" s="8" t="s">
        <v>3</v>
      </c>
      <c r="C3" s="8" t="s">
        <v>4</v>
      </c>
      <c r="D3" s="17" t="str">
        <f>_xlfn.CONCAT(D2,"-",G3)</f>
        <v>Option--varName</v>
      </c>
      <c r="E3" s="8" t="str">
        <f>D2</f>
        <v>Option-</v>
      </c>
      <c r="F3" s="13"/>
      <c r="G3" s="8" t="s">
        <v>15</v>
      </c>
      <c r="H3" s="14"/>
      <c r="I3" s="14"/>
      <c r="J3" s="14"/>
      <c r="K3" s="8"/>
      <c r="L3" s="8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 t="s">
        <v>39</v>
      </c>
      <c r="Z3" s="10" t="s">
        <v>39</v>
      </c>
      <c r="AA3" s="10" t="s">
        <v>39</v>
      </c>
      <c r="AB3" s="10" t="s">
        <v>39</v>
      </c>
      <c r="AC3" s="10" t="s">
        <v>39</v>
      </c>
      <c r="AD3" s="10" t="s">
        <v>39</v>
      </c>
      <c r="AE3" s="10" t="s">
        <v>39</v>
      </c>
      <c r="AF3" s="10" t="s">
        <v>39</v>
      </c>
    </row>
    <row r="4" spans="1:33" s="4" customFormat="1" x14ac:dyDescent="0.2">
      <c r="A4" s="20" t="s">
        <v>44</v>
      </c>
      <c r="B4" s="8" t="s">
        <v>3</v>
      </c>
      <c r="C4" s="8" t="s">
        <v>5</v>
      </c>
      <c r="D4" s="17" t="str">
        <f>_xlfn.CONCAT(D2,"-",G4)</f>
        <v>Option--display</v>
      </c>
      <c r="E4" s="8" t="str">
        <f>D2</f>
        <v>Option-</v>
      </c>
      <c r="F4" s="13"/>
      <c r="G4" s="8" t="s">
        <v>7</v>
      </c>
      <c r="H4" s="14"/>
      <c r="I4" s="14"/>
      <c r="J4" s="14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 t="s">
        <v>39</v>
      </c>
      <c r="Z4" s="10" t="s">
        <v>39</v>
      </c>
      <c r="AA4" s="10" t="s">
        <v>39</v>
      </c>
      <c r="AB4" s="10" t="s">
        <v>39</v>
      </c>
      <c r="AC4" s="10" t="s">
        <v>39</v>
      </c>
      <c r="AD4" s="10" t="s">
        <v>39</v>
      </c>
      <c r="AE4" s="10" t="s">
        <v>39</v>
      </c>
      <c r="AF4" s="10" t="s">
        <v>39</v>
      </c>
    </row>
    <row r="5" spans="1:33" s="4" customFormat="1" x14ac:dyDescent="0.2">
      <c r="A5" s="20" t="s">
        <v>45</v>
      </c>
      <c r="B5" s="8" t="s">
        <v>3</v>
      </c>
      <c r="C5" s="8" t="s">
        <v>4</v>
      </c>
      <c r="D5" s="17" t="str">
        <f>_xlfn.CONCAT(D2,"-",G5)</f>
        <v>Option--layoutMapConfig</v>
      </c>
      <c r="E5" s="8" t="str">
        <f>D2</f>
        <v>Option-</v>
      </c>
      <c r="F5" s="13"/>
      <c r="G5" s="8" t="s">
        <v>47</v>
      </c>
      <c r="H5" s="14"/>
      <c r="I5" s="14"/>
      <c r="J5" s="14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 t="s">
        <v>39</v>
      </c>
      <c r="Z5" s="10" t="s">
        <v>39</v>
      </c>
      <c r="AA5" s="10" t="s">
        <v>39</v>
      </c>
      <c r="AB5" s="10" t="s">
        <v>39</v>
      </c>
      <c r="AC5" s="10" t="s">
        <v>39</v>
      </c>
      <c r="AD5" s="10" t="s">
        <v>39</v>
      </c>
      <c r="AE5" s="10" t="s">
        <v>39</v>
      </c>
      <c r="AF5" s="10" t="s">
        <v>39</v>
      </c>
    </row>
    <row r="6" spans="1:33" s="4" customFormat="1" x14ac:dyDescent="0.2">
      <c r="A6" s="20" t="s">
        <v>46</v>
      </c>
      <c r="B6" s="8" t="s">
        <v>3</v>
      </c>
      <c r="C6" s="8" t="s">
        <v>6</v>
      </c>
      <c r="D6" s="17" t="str">
        <f>_xlfn.CONCAT(D2,"-",G6)</f>
        <v>Option--snackingConfig</v>
      </c>
      <c r="E6" s="8" t="str">
        <f>D2</f>
        <v>Option-</v>
      </c>
      <c r="F6" s="13"/>
      <c r="G6" s="8" t="s">
        <v>48</v>
      </c>
      <c r="H6" s="14"/>
      <c r="I6" s="14"/>
      <c r="J6" s="14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 t="s">
        <v>39</v>
      </c>
      <c r="Z6" s="10" t="s">
        <v>39</v>
      </c>
      <c r="AA6" s="10" t="s">
        <v>39</v>
      </c>
      <c r="AB6" s="10" t="s">
        <v>39</v>
      </c>
      <c r="AC6" s="10" t="s">
        <v>39</v>
      </c>
      <c r="AD6" s="10" t="s">
        <v>39</v>
      </c>
      <c r="AE6" s="10" t="s">
        <v>39</v>
      </c>
      <c r="AF6" s="10" t="s">
        <v>39</v>
      </c>
    </row>
    <row r="7" spans="1:33" s="4" customFormat="1" x14ac:dyDescent="0.2">
      <c r="A7" s="20" t="s">
        <v>56</v>
      </c>
      <c r="B7" s="8" t="s">
        <v>3</v>
      </c>
      <c r="C7" s="8" t="s">
        <v>6</v>
      </c>
      <c r="D7" s="17" t="str">
        <f>_xlfn.CONCAT(D3,"-",G7)</f>
        <v>Option--varName-actionConfig</v>
      </c>
      <c r="E7" s="8" t="str">
        <f>D2</f>
        <v>Option-</v>
      </c>
      <c r="F7" s="13"/>
      <c r="G7" s="8" t="s">
        <v>49</v>
      </c>
      <c r="H7" s="14"/>
      <c r="I7" s="14"/>
      <c r="J7" s="14"/>
      <c r="K7" s="8"/>
      <c r="L7" s="8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 t="s">
        <v>39</v>
      </c>
      <c r="Z7" s="10" t="s">
        <v>39</v>
      </c>
      <c r="AA7" s="10" t="s">
        <v>39</v>
      </c>
      <c r="AB7" s="10" t="s">
        <v>39</v>
      </c>
      <c r="AC7" s="10" t="s">
        <v>39</v>
      </c>
      <c r="AD7" s="10" t="s">
        <v>39</v>
      </c>
      <c r="AE7" s="10" t="s">
        <v>39</v>
      </c>
      <c r="AF7" s="10" t="s">
        <v>39</v>
      </c>
    </row>
  </sheetData>
  <autoFilter ref="A1:J54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7575-C4E3-4C3D-B08B-936317C284D3}">
  <dimension ref="A1:AG8"/>
  <sheetViews>
    <sheetView zoomScale="70" zoomScaleNormal="70" workbookViewId="0">
      <selection activeCell="E9" sqref="E9"/>
    </sheetView>
  </sheetViews>
  <sheetFormatPr defaultColWidth="8.6640625" defaultRowHeight="12.6" x14ac:dyDescent="0.2"/>
  <cols>
    <col min="1" max="1" width="28.77734375" style="12" bestFit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9" width="14.77734375" style="1" customWidth="1"/>
    <col min="10" max="10" width="30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8" width="10.77734375" style="1" customWidth="1"/>
    <col min="29" max="29" width="40.77734375" style="1" customWidth="1"/>
    <col min="30" max="31" width="10.77734375" style="1" customWidth="1"/>
    <col min="32" max="32" width="40.77734375" style="1" customWidth="1"/>
    <col min="33" max="33" width="8.6640625" style="2"/>
    <col min="34" max="16384" width="8.6640625" style="1"/>
  </cols>
  <sheetData>
    <row r="1" spans="1:33" s="4" customFormat="1" x14ac:dyDescent="0.2">
      <c r="A1" s="12" t="s">
        <v>41</v>
      </c>
      <c r="B1" s="15" t="s">
        <v>8</v>
      </c>
      <c r="C1" s="15" t="s">
        <v>9</v>
      </c>
      <c r="D1" s="15" t="s">
        <v>10</v>
      </c>
      <c r="E1" s="15" t="s">
        <v>11</v>
      </c>
      <c r="F1" s="16" t="s">
        <v>12</v>
      </c>
      <c r="G1" s="15" t="s">
        <v>0</v>
      </c>
      <c r="H1" s="15" t="s">
        <v>13</v>
      </c>
      <c r="I1" s="15" t="s">
        <v>14</v>
      </c>
      <c r="J1" s="15" t="s">
        <v>1</v>
      </c>
      <c r="K1" s="5" t="s">
        <v>17</v>
      </c>
      <c r="L1" s="6" t="s">
        <v>18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7" t="s">
        <v>24</v>
      </c>
      <c r="S1" s="7" t="s">
        <v>25</v>
      </c>
      <c r="T1" s="7" t="s">
        <v>26</v>
      </c>
      <c r="U1" s="7" t="s">
        <v>27</v>
      </c>
      <c r="V1" s="7" t="s">
        <v>28</v>
      </c>
      <c r="W1" s="7" t="s">
        <v>29</v>
      </c>
      <c r="X1" s="7" t="s">
        <v>30</v>
      </c>
      <c r="Y1" s="7" t="s">
        <v>31</v>
      </c>
      <c r="Z1" s="7" t="s">
        <v>32</v>
      </c>
      <c r="AA1" s="7" t="s">
        <v>33</v>
      </c>
      <c r="AB1" s="7" t="s">
        <v>34</v>
      </c>
      <c r="AC1" s="7" t="s">
        <v>35</v>
      </c>
      <c r="AD1" s="7" t="s">
        <v>36</v>
      </c>
      <c r="AE1" s="7" t="s">
        <v>37</v>
      </c>
      <c r="AF1" s="7" t="s">
        <v>38</v>
      </c>
      <c r="AG1" s="3"/>
    </row>
    <row r="2" spans="1:33" s="4" customFormat="1" x14ac:dyDescent="0.2">
      <c r="A2" s="20" t="s">
        <v>42</v>
      </c>
      <c r="B2" s="11" t="s">
        <v>2</v>
      </c>
      <c r="C2" s="11" t="s">
        <v>40</v>
      </c>
      <c r="D2" s="11" t="str">
        <f>_xlfn.CONCAT(PROPER(C2),"-",PROPER(J3))</f>
        <v>Option-</v>
      </c>
      <c r="E2" s="18"/>
      <c r="F2" s="19"/>
      <c r="G2" s="18"/>
      <c r="H2" s="18"/>
      <c r="I2" s="18"/>
      <c r="J2" s="18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3" s="4" customFormat="1" x14ac:dyDescent="0.2">
      <c r="A3" s="20" t="s">
        <v>43</v>
      </c>
      <c r="B3" s="8" t="s">
        <v>3</v>
      </c>
      <c r="C3" s="8" t="s">
        <v>4</v>
      </c>
      <c r="D3" s="17" t="str">
        <f>_xlfn.CONCAT(D2,"-",G3)</f>
        <v>Option--varName</v>
      </c>
      <c r="E3" s="8" t="str">
        <f>D2</f>
        <v>Option-</v>
      </c>
      <c r="F3" s="13"/>
      <c r="G3" s="8" t="s">
        <v>15</v>
      </c>
      <c r="H3" s="14"/>
      <c r="I3" s="14"/>
      <c r="J3" s="14"/>
      <c r="K3" s="8"/>
      <c r="L3" s="8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 t="s">
        <v>39</v>
      </c>
      <c r="Z3" s="10" t="s">
        <v>39</v>
      </c>
      <c r="AA3" s="10" t="s">
        <v>39</v>
      </c>
      <c r="AB3" s="10" t="s">
        <v>39</v>
      </c>
      <c r="AC3" s="10" t="s">
        <v>39</v>
      </c>
      <c r="AD3" s="10" t="s">
        <v>39</v>
      </c>
      <c r="AE3" s="10" t="s">
        <v>39</v>
      </c>
      <c r="AF3" s="10" t="s">
        <v>39</v>
      </c>
    </row>
    <row r="4" spans="1:33" s="4" customFormat="1" x14ac:dyDescent="0.2">
      <c r="A4" s="20" t="s">
        <v>44</v>
      </c>
      <c r="B4" s="8" t="s">
        <v>3</v>
      </c>
      <c r="C4" s="8" t="s">
        <v>5</v>
      </c>
      <c r="D4" s="17" t="str">
        <f>_xlfn.CONCAT(D2,"-",G4)</f>
        <v>Option--searchType</v>
      </c>
      <c r="E4" s="8" t="str">
        <f>D2</f>
        <v>Option-</v>
      </c>
      <c r="F4" s="13"/>
      <c r="G4" s="8" t="s">
        <v>50</v>
      </c>
      <c r="H4" s="14"/>
      <c r="I4" s="14"/>
      <c r="J4" s="14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 t="s">
        <v>39</v>
      </c>
      <c r="Z4" s="10" t="s">
        <v>39</v>
      </c>
      <c r="AA4" s="10" t="s">
        <v>39</v>
      </c>
      <c r="AB4" s="10" t="s">
        <v>39</v>
      </c>
      <c r="AC4" s="10" t="s">
        <v>39</v>
      </c>
      <c r="AD4" s="10" t="s">
        <v>39</v>
      </c>
      <c r="AE4" s="10" t="s">
        <v>39</v>
      </c>
      <c r="AF4" s="10" t="s">
        <v>39</v>
      </c>
    </row>
    <row r="5" spans="1:33" s="4" customFormat="1" x14ac:dyDescent="0.2">
      <c r="A5" s="20" t="s">
        <v>45</v>
      </c>
      <c r="B5" s="8" t="s">
        <v>3</v>
      </c>
      <c r="C5" s="8" t="s">
        <v>4</v>
      </c>
      <c r="D5" s="17" t="str">
        <f>_xlfn.CONCAT(D2,"-",G5)</f>
        <v>Option--currentNodeId</v>
      </c>
      <c r="E5" s="8" t="str">
        <f>D2</f>
        <v>Option-</v>
      </c>
      <c r="F5" s="13"/>
      <c r="G5" s="8" t="s">
        <v>51</v>
      </c>
      <c r="H5" s="14"/>
      <c r="I5" s="14"/>
      <c r="J5" s="14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 t="s">
        <v>39</v>
      </c>
      <c r="Z5" s="10" t="s">
        <v>39</v>
      </c>
      <c r="AA5" s="10" t="s">
        <v>39</v>
      </c>
      <c r="AB5" s="10" t="s">
        <v>39</v>
      </c>
      <c r="AC5" s="10" t="s">
        <v>39</v>
      </c>
      <c r="AD5" s="10" t="s">
        <v>39</v>
      </c>
      <c r="AE5" s="10" t="s">
        <v>39</v>
      </c>
      <c r="AF5" s="10" t="s">
        <v>39</v>
      </c>
    </row>
    <row r="6" spans="1:33" s="4" customFormat="1" x14ac:dyDescent="0.2">
      <c r="A6" s="20" t="s">
        <v>46</v>
      </c>
      <c r="B6" s="8" t="s">
        <v>3</v>
      </c>
      <c r="C6" s="8" t="s">
        <v>6</v>
      </c>
      <c r="D6" s="17" t="str">
        <f>_xlfn.CONCAT(D2,"-",G6)</f>
        <v>Option--edgeType</v>
      </c>
      <c r="E6" s="8" t="str">
        <f>D2</f>
        <v>Option-</v>
      </c>
      <c r="F6" s="13"/>
      <c r="G6" s="8" t="s">
        <v>52</v>
      </c>
      <c r="H6" s="14"/>
      <c r="I6" s="14"/>
      <c r="J6" s="14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 t="s">
        <v>39</v>
      </c>
      <c r="Z6" s="10" t="s">
        <v>39</v>
      </c>
      <c r="AA6" s="10" t="s">
        <v>39</v>
      </c>
      <c r="AB6" s="10" t="s">
        <v>39</v>
      </c>
      <c r="AC6" s="10" t="s">
        <v>39</v>
      </c>
      <c r="AD6" s="10" t="s">
        <v>39</v>
      </c>
      <c r="AE6" s="10" t="s">
        <v>39</v>
      </c>
      <c r="AF6" s="10" t="s">
        <v>39</v>
      </c>
    </row>
    <row r="7" spans="1:33" s="4" customFormat="1" x14ac:dyDescent="0.2">
      <c r="A7" s="20" t="s">
        <v>54</v>
      </c>
      <c r="B7" s="8" t="s">
        <v>3</v>
      </c>
      <c r="C7" s="8" t="s">
        <v>6</v>
      </c>
      <c r="D7" s="17" t="str">
        <f>_xlfn.CONCAT(D3,"-",G7)</f>
        <v>Option--varName-nodeLabel</v>
      </c>
      <c r="E7" s="8" t="str">
        <f>D2</f>
        <v>Option-</v>
      </c>
      <c r="F7" s="13"/>
      <c r="G7" s="8" t="s">
        <v>53</v>
      </c>
      <c r="H7" s="14"/>
      <c r="I7" s="14"/>
      <c r="J7" s="14"/>
      <c r="K7" s="8"/>
      <c r="L7" s="8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 t="s">
        <v>39</v>
      </c>
      <c r="Z7" s="10" t="s">
        <v>39</v>
      </c>
      <c r="AA7" s="10" t="s">
        <v>39</v>
      </c>
      <c r="AB7" s="10" t="s">
        <v>39</v>
      </c>
      <c r="AC7" s="10" t="s">
        <v>39</v>
      </c>
      <c r="AD7" s="10" t="s">
        <v>39</v>
      </c>
      <c r="AE7" s="10" t="s">
        <v>39</v>
      </c>
      <c r="AF7" s="10" t="s">
        <v>39</v>
      </c>
    </row>
    <row r="8" spans="1:33" s="4" customFormat="1" x14ac:dyDescent="0.2">
      <c r="A8" s="20" t="s">
        <v>55</v>
      </c>
      <c r="B8" s="8" t="s">
        <v>3</v>
      </c>
      <c r="C8" s="8" t="s">
        <v>6</v>
      </c>
      <c r="D8" s="17" t="str">
        <f>_xlfn.CONCAT(D4,"-",G8)</f>
        <v>Option--searchType-nodeLabel</v>
      </c>
      <c r="E8" s="8" t="str">
        <f>D2</f>
        <v>Option-</v>
      </c>
      <c r="F8" s="13"/>
      <c r="G8" s="8" t="s">
        <v>53</v>
      </c>
      <c r="H8" s="14"/>
      <c r="I8" s="14"/>
      <c r="J8" s="14"/>
      <c r="K8" s="8"/>
      <c r="L8" s="8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 t="s">
        <v>39</v>
      </c>
      <c r="Z8" s="10" t="s">
        <v>39</v>
      </c>
      <c r="AA8" s="10" t="s">
        <v>39</v>
      </c>
      <c r="AB8" s="10" t="s">
        <v>39</v>
      </c>
      <c r="AC8" s="10" t="s">
        <v>39</v>
      </c>
      <c r="AD8" s="10" t="s">
        <v>39</v>
      </c>
      <c r="AE8" s="10" t="s">
        <v>39</v>
      </c>
      <c r="AF8" s="10" t="s">
        <v>39</v>
      </c>
    </row>
  </sheetData>
  <autoFilter ref="A1:J55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selectOptionMaster</vt:lpstr>
      <vt:lpstr>layoutOptionMaster</vt:lpstr>
      <vt:lpstr>searchNodeWFOptionMaster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Yasuhiro Fukuda</dc:creator>
  <cp:lastModifiedBy>泰宏 福田</cp:lastModifiedBy>
  <dcterms:created xsi:type="dcterms:W3CDTF">2025-10-27T08:46:25Z</dcterms:created>
  <dcterms:modified xsi:type="dcterms:W3CDTF">2026-02-20T08:11:27Z</dcterms:modified>
</cp:coreProperties>
</file>